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406A8FD1-869F-4CB5-9911-F699CB9661B7}" xr6:coauthVersionLast="36" xr6:coauthVersionMax="36" xr10:uidLastSave="{00000000-0000-0000-0000-000000000000}"/>
  <bookViews>
    <workbookView xWindow="0" yWindow="0" windowWidth="16410" windowHeight="7425" activeTab="2" xr2:uid="{6DAC5E7B-F5C2-4F65-BC4A-CC9BAC081203}"/>
  </bookViews>
  <sheets>
    <sheet name="Sheet1" sheetId="1" r:id="rId1"/>
    <sheet name="Analysis" sheetId="2" r:id="rId2"/>
    <sheet name="Dashbord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2" l="1"/>
  <c r="B2" i="2"/>
  <c r="B16" i="3" l="1"/>
  <c r="B15" i="3"/>
  <c r="B14" i="3"/>
  <c r="B13" i="3"/>
  <c r="B12" i="3"/>
  <c r="B11" i="3"/>
  <c r="B3" i="3"/>
  <c r="E3" i="3"/>
  <c r="B5" i="3"/>
  <c r="E5" i="3"/>
  <c r="B7" i="3"/>
  <c r="E7" i="3"/>
  <c r="N6" i="1"/>
  <c r="N7" i="1"/>
  <c r="N8" i="1"/>
  <c r="N9" i="1"/>
  <c r="N10" i="1"/>
  <c r="N11" i="1"/>
  <c r="N12" i="1"/>
  <c r="N13" i="1"/>
  <c r="N14" i="1"/>
  <c r="N15" i="1"/>
  <c r="N16" i="1"/>
  <c r="N17" i="1"/>
  <c r="N5" i="1"/>
  <c r="N4" i="1"/>
  <c r="N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3" i="1"/>
  <c r="J4" i="1"/>
  <c r="J5" i="1"/>
  <c r="J6" i="1"/>
  <c r="J7" i="1"/>
  <c r="J8" i="1"/>
  <c r="J10" i="1"/>
  <c r="J11" i="1"/>
  <c r="J12" i="1"/>
  <c r="J13" i="1"/>
  <c r="J14" i="1"/>
  <c r="J15" i="1"/>
  <c r="J16" i="1"/>
  <c r="J3" i="1"/>
  <c r="I4" i="1"/>
  <c r="I5" i="1"/>
  <c r="I6" i="1"/>
  <c r="I7" i="1"/>
  <c r="I8" i="1"/>
  <c r="I9" i="1"/>
  <c r="J9" i="1" s="1"/>
  <c r="I10" i="1"/>
  <c r="I11" i="1"/>
  <c r="I12" i="1"/>
  <c r="I13" i="1"/>
  <c r="I14" i="1"/>
  <c r="I15" i="1"/>
  <c r="I16" i="1"/>
  <c r="I17" i="1"/>
  <c r="J17" i="1" s="1"/>
  <c r="I3" i="1"/>
</calcChain>
</file>

<file path=xl/sharedStrings.xml><?xml version="1.0" encoding="utf-8"?>
<sst xmlns="http://schemas.openxmlformats.org/spreadsheetml/2006/main" count="51" uniqueCount="45">
  <si>
    <t>MarkSheet</t>
  </si>
  <si>
    <t>Roll No.</t>
  </si>
  <si>
    <t>Name</t>
  </si>
  <si>
    <t>Math</t>
  </si>
  <si>
    <t xml:space="preserve">English </t>
  </si>
  <si>
    <t>Hindi</t>
  </si>
  <si>
    <t>Social Science</t>
  </si>
  <si>
    <t>Science</t>
  </si>
  <si>
    <t>Snscriect</t>
  </si>
  <si>
    <t>Total</t>
  </si>
  <si>
    <t>%</t>
  </si>
  <si>
    <t>Avg</t>
  </si>
  <si>
    <t>Max</t>
  </si>
  <si>
    <t>Min</t>
  </si>
  <si>
    <t>A</t>
  </si>
  <si>
    <t>S</t>
  </si>
  <si>
    <t>D</t>
  </si>
  <si>
    <t>F</t>
  </si>
  <si>
    <t>G</t>
  </si>
  <si>
    <t>H</t>
  </si>
  <si>
    <t>J</t>
  </si>
  <si>
    <t>K</t>
  </si>
  <si>
    <t>B</t>
  </si>
  <si>
    <t>V</t>
  </si>
  <si>
    <t>M</t>
  </si>
  <si>
    <t>N</t>
  </si>
  <si>
    <t>Y</t>
  </si>
  <si>
    <t>T</t>
  </si>
  <si>
    <t>R</t>
  </si>
  <si>
    <t>Result</t>
  </si>
  <si>
    <t xml:space="preserve"> Student Performance Dashboard </t>
  </si>
  <si>
    <t>Total Students</t>
  </si>
  <si>
    <t>Pass Students</t>
  </si>
  <si>
    <t>Fail Students</t>
  </si>
  <si>
    <t>Pass %</t>
  </si>
  <si>
    <t>Topper Name</t>
  </si>
  <si>
    <t>Highest  Marks</t>
  </si>
  <si>
    <t>Subject</t>
  </si>
  <si>
    <t>Average</t>
  </si>
  <si>
    <t>English</t>
  </si>
  <si>
    <t>Sanskrit</t>
  </si>
  <si>
    <t>Pass</t>
  </si>
  <si>
    <t>Fail</t>
  </si>
  <si>
    <t>Best Subject</t>
  </si>
  <si>
    <t>Weakest 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</si>
</sst>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Mangal"/>
      <family val="2"/>
      <scheme val="minor"/>
    </font>
    <font>
      <sz val="11"/>
      <color theme="1"/>
      <name val="Mangal"/>
      <family val="2"/>
      <scheme val="minor"/>
    </font>
    <font>
      <b/>
      <sz val="11"/>
      <color theme="1"/>
      <name val="Mangal"/>
      <family val="2"/>
      <scheme val="minor"/>
    </font>
    <font>
      <b/>
      <i/>
      <sz val="14"/>
      <color rgb="FFFF0000"/>
      <name val="Mangal"/>
      <family val="1"/>
      <scheme val="minor"/>
    </font>
    <font>
      <b/>
      <i/>
      <sz val="12"/>
      <color rgb="FFFF0000"/>
      <name val="Mangal"/>
      <family val="1"/>
      <scheme val="minor"/>
    </font>
    <font>
      <sz val="11"/>
      <color theme="2"/>
      <name val="Mangal"/>
      <family val="1"/>
      <scheme val="minor"/>
    </font>
    <font>
      <b/>
      <sz val="12"/>
      <color theme="2"/>
      <name val="Mangal"/>
      <family val="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4" fillId="3" borderId="1" xfId="0" applyFont="1" applyFill="1" applyBorder="1"/>
    <xf numFmtId="0" fontId="4" fillId="3" borderId="2" xfId="0" applyFont="1" applyFill="1" applyBorder="1"/>
    <xf numFmtId="0" fontId="4" fillId="3" borderId="0" xfId="0" applyFont="1" applyFill="1" applyBorder="1"/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9" fontId="5" fillId="2" borderId="0" xfId="1" applyFont="1" applyFill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4" fillId="4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rgbClr val="FF0000"/>
                </a:solidFill>
              </a:rPr>
              <a:t>Pass vs Fail Analysis</a:t>
            </a:r>
          </a:p>
        </c:rich>
      </c:tx>
      <c:overlay val="0"/>
      <c:spPr>
        <a:solidFill>
          <a:schemeClr val="accent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i-IN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7056-4A2F-A75F-E6D6B3E644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7056-4A2F-A75F-E6D6B3E644B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i-IN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7056-4A2F-A75F-E6D6B3E644B3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i-IN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7056-4A2F-A75F-E6D6B3E644B3}"/>
                </c:ext>
              </c:extLst>
            </c:dLbl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Analysis!$A$2:$A$3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Analysis!$B$2:$B$3</c:f>
              <c:numCache>
                <c:formatCode>General</c:formatCode>
                <c:ptCount val="2"/>
                <c:pt idx="0">
                  <c:v>12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56-4A2F-A75F-E6D6B3E644B3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i-I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hi-IN" sz="1400" b="0" i="0" u="none" strike="noStrike" baseline="0">
                <a:solidFill>
                  <a:schemeClr val="bg1"/>
                </a:solidFill>
              </a:rPr>
              <a:t>📊 </a:t>
            </a:r>
            <a:r>
              <a:rPr lang="en-US" sz="1400" b="1" i="0" u="none" strike="noStrike" baseline="0">
                <a:solidFill>
                  <a:schemeClr val="bg1"/>
                </a:solidFill>
              </a:rPr>
              <a:t>Subject Wise Average Marks</a:t>
            </a:r>
            <a:endParaRPr lang="en-US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26875912788129208"/>
          <c:y val="2.5889976434005701E-2"/>
        </c:manualLayout>
      </c:layout>
      <c:overlay val="0"/>
      <c:spPr>
        <a:solidFill>
          <a:schemeClr val="accent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hi-I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3496322860632523E-2"/>
          <c:y val="0.1948611454649731"/>
          <c:w val="0.82338407699037619"/>
          <c:h val="0.67003098571011954"/>
        </c:manualLayout>
      </c:layout>
      <c:bar3DChart>
        <c:barDir val="col"/>
        <c:grouping val="standar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Dashbords!$A$11:$A$16</c:f>
              <c:strCache>
                <c:ptCount val="6"/>
                <c:pt idx="0">
                  <c:v>Math</c:v>
                </c:pt>
                <c:pt idx="1">
                  <c:v>English</c:v>
                </c:pt>
                <c:pt idx="2">
                  <c:v>Hindi</c:v>
                </c:pt>
                <c:pt idx="3">
                  <c:v>Social Science</c:v>
                </c:pt>
                <c:pt idx="4">
                  <c:v>Science</c:v>
                </c:pt>
                <c:pt idx="5">
                  <c:v>Sanskrit</c:v>
                </c:pt>
              </c:strCache>
            </c:strRef>
          </c:cat>
          <c:val>
            <c:numRef>
              <c:f>Dashbords!$B$11:$B$16</c:f>
              <c:numCache>
                <c:formatCode>General</c:formatCode>
                <c:ptCount val="6"/>
                <c:pt idx="0">
                  <c:v>67.642857142857139</c:v>
                </c:pt>
                <c:pt idx="1">
                  <c:v>70.714285714285708</c:v>
                </c:pt>
                <c:pt idx="2">
                  <c:v>62.8</c:v>
                </c:pt>
                <c:pt idx="3">
                  <c:v>62.06666666666667</c:v>
                </c:pt>
                <c:pt idx="4">
                  <c:v>69.400000000000006</c:v>
                </c:pt>
                <c:pt idx="5">
                  <c:v>56.533333333333331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5C-4702-B545-CD2D08311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1963056"/>
        <c:axId val="523223488"/>
        <c:axId val="422510416"/>
      </c:bar3DChart>
      <c:catAx>
        <c:axId val="21196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523223488"/>
        <c:crosses val="autoZero"/>
        <c:auto val="1"/>
        <c:lblAlgn val="ctr"/>
        <c:lblOffset val="100"/>
        <c:noMultiLvlLbl val="0"/>
      </c:catAx>
      <c:valAx>
        <c:axId val="52322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211963056"/>
        <c:crosses val="autoZero"/>
        <c:crossBetween val="between"/>
      </c:valAx>
      <c:serAx>
        <c:axId val="4225104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523223488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i-I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rgbClr val="FF0000"/>
                </a:solidFill>
              </a:rPr>
              <a:t>Pass vs Fail Analysis</a:t>
            </a:r>
          </a:p>
        </c:rich>
      </c:tx>
      <c:overlay val="0"/>
      <c:spPr>
        <a:solidFill>
          <a:schemeClr val="accent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i-IN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A3FF-4252-B0CC-B7BF2660E0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A3FF-4252-B0CC-B7BF2660E018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i-IN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A3FF-4252-B0CC-B7BF2660E018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i-IN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A3FF-4252-B0CC-B7BF2660E018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Analysis!$A$2:$A$3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Analysis!$B$2:$B$3</c:f>
              <c:numCache>
                <c:formatCode>General</c:formatCode>
                <c:ptCount val="2"/>
                <c:pt idx="0">
                  <c:v>12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FF-4252-B0CC-B7BF2660E018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i-I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371475</xdr:colOff>
      <xdr:row>2</xdr:row>
      <xdr:rowOff>42862</xdr:rowOff>
    </xdr:from>
    <xdr:to>
      <xdr:col>9</xdr:col>
      <xdr:colOff>371475</xdr:colOff>
      <xdr:row>10</xdr:row>
      <xdr:rowOff>195262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5E6415-EB28-4B9D-98FF-0B1EC44B8B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419099</xdr:colOff>
      <xdr:row>9</xdr:row>
      <xdr:rowOff>47625</xdr:rowOff>
    </xdr:from>
    <xdr:to>
      <xdr:col>9</xdr:col>
      <xdr:colOff>295274</xdr:colOff>
      <xdr:row>17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CED05C-CE7D-401D-AA57-2680500881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21</xdr:row>
      <xdr:rowOff>0</xdr:rowOff>
    </xdr:from>
    <xdr:to>
      <xdr:col>7</xdr:col>
      <xdr:colOff>400050</xdr:colOff>
      <xdr:row>29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2B8BEE-3D6A-44F8-8571-409EB4B5CB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85E73-2BB7-4F13-AA81-1C512B62F90E}">
  <dimension ref="A1:N17"/>
  <sheetViews>
    <sheetView topLeftCell="D10" workbookViewId="0">
      <selection activeCell="N17" sqref="A1:N17"/>
    </sheetView>
  </sheetViews>
  <sheetFormatPr defaultRowHeight="25.5" x14ac:dyDescent="0.7"/>
  <cols>
    <col min="2" max="2" width="10.21875" customWidth="1"/>
    <col min="3" max="3" width="9.44140625" customWidth="1"/>
    <col min="4" max="4" width="9.6640625" customWidth="1"/>
    <col min="5" max="5" width="10.21875" customWidth="1"/>
    <col min="6" max="6" width="15.109375" customWidth="1"/>
    <col min="7" max="7" width="11" customWidth="1"/>
    <col min="8" max="8" width="10.21875" customWidth="1"/>
  </cols>
  <sheetData>
    <row r="1" spans="1:14" ht="29.25" x14ac:dyDescent="0.75">
      <c r="E1" s="10" t="s">
        <v>0</v>
      </c>
      <c r="F1" s="11"/>
      <c r="G1" s="11"/>
    </row>
    <row r="2" spans="1:14" ht="26.25" x14ac:dyDescent="0.7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4" t="s">
        <v>29</v>
      </c>
    </row>
    <row r="3" spans="1:14" x14ac:dyDescent="0.7">
      <c r="A3">
        <v>1</v>
      </c>
      <c r="B3" t="s">
        <v>14</v>
      </c>
      <c r="C3">
        <v>37</v>
      </c>
      <c r="D3">
        <v>69</v>
      </c>
      <c r="E3">
        <v>85</v>
      </c>
      <c r="F3">
        <v>95</v>
      </c>
      <c r="G3">
        <v>100</v>
      </c>
      <c r="H3">
        <v>60</v>
      </c>
      <c r="I3">
        <f>SUM(C3:H3)</f>
        <v>446</v>
      </c>
      <c r="J3">
        <f>I3/600*100</f>
        <v>74.333333333333329</v>
      </c>
      <c r="K3">
        <f>AVERAGE(C3:H3)</f>
        <v>74.333333333333329</v>
      </c>
      <c r="L3">
        <f>MAX(C3:H3)</f>
        <v>100</v>
      </c>
      <c r="M3">
        <f>MIN(C3:H3)</f>
        <v>37</v>
      </c>
      <c r="N3" t="str">
        <f>IF(M3&gt;=34,"Pass","Fail")</f>
        <v>Pass</v>
      </c>
    </row>
    <row r="4" spans="1:14" x14ac:dyDescent="0.7">
      <c r="A4">
        <v>2</v>
      </c>
      <c r="B4" t="s">
        <v>15</v>
      </c>
      <c r="C4">
        <v>89</v>
      </c>
      <c r="D4">
        <v>70</v>
      </c>
      <c r="E4">
        <v>36</v>
      </c>
      <c r="F4">
        <v>43</v>
      </c>
      <c r="G4">
        <v>94</v>
      </c>
      <c r="H4">
        <v>47</v>
      </c>
      <c r="I4">
        <f t="shared" ref="I4:I17" si="0">SUM(C4:H4)</f>
        <v>379</v>
      </c>
      <c r="J4">
        <f t="shared" ref="J4:J17" si="1">I4/600*100</f>
        <v>63.166666666666671</v>
      </c>
      <c r="K4">
        <f t="shared" ref="K4:K17" si="2">AVERAGE(C4:H4)</f>
        <v>63.166666666666664</v>
      </c>
      <c r="L4">
        <f t="shared" ref="L4:L17" si="3">MAX(C4:H4)</f>
        <v>94</v>
      </c>
      <c r="M4">
        <f t="shared" ref="M4:M17" si="4">MIN(C4:H4)</f>
        <v>36</v>
      </c>
      <c r="N4" t="str">
        <f t="shared" ref="N4" si="5">IF(M4&gt;=34,"Pass","Fail")</f>
        <v>Pass</v>
      </c>
    </row>
    <row r="5" spans="1:14" x14ac:dyDescent="0.7">
      <c r="A5">
        <v>3</v>
      </c>
      <c r="B5" t="s">
        <v>16</v>
      </c>
      <c r="C5">
        <v>45</v>
      </c>
      <c r="D5">
        <v>51</v>
      </c>
      <c r="E5">
        <v>48</v>
      </c>
      <c r="F5">
        <v>76</v>
      </c>
      <c r="G5">
        <v>62</v>
      </c>
      <c r="H5">
        <v>87</v>
      </c>
      <c r="I5">
        <f t="shared" si="0"/>
        <v>369</v>
      </c>
      <c r="J5">
        <f t="shared" si="1"/>
        <v>61.5</v>
      </c>
      <c r="K5">
        <f t="shared" si="2"/>
        <v>61.5</v>
      </c>
      <c r="L5">
        <f t="shared" si="3"/>
        <v>87</v>
      </c>
      <c r="M5">
        <f t="shared" si="4"/>
        <v>45</v>
      </c>
      <c r="N5" t="str">
        <f>IF(M5&gt;=33,"Pass","Fail")</f>
        <v>Pass</v>
      </c>
    </row>
    <row r="6" spans="1:14" x14ac:dyDescent="0.7">
      <c r="A6">
        <v>4</v>
      </c>
      <c r="B6" t="s">
        <v>17</v>
      </c>
      <c r="C6">
        <v>79</v>
      </c>
      <c r="D6">
        <v>52</v>
      </c>
      <c r="E6">
        <v>40</v>
      </c>
      <c r="F6">
        <v>48</v>
      </c>
      <c r="G6">
        <v>98</v>
      </c>
      <c r="H6">
        <v>33</v>
      </c>
      <c r="I6">
        <f t="shared" si="0"/>
        <v>350</v>
      </c>
      <c r="J6">
        <f t="shared" si="1"/>
        <v>58.333333333333336</v>
      </c>
      <c r="K6">
        <f t="shared" si="2"/>
        <v>58.333333333333336</v>
      </c>
      <c r="L6">
        <f t="shared" si="3"/>
        <v>98</v>
      </c>
      <c r="M6">
        <f t="shared" si="4"/>
        <v>33</v>
      </c>
      <c r="N6" t="str">
        <f t="shared" ref="N6:N17" si="6">IF(M6&gt;=33,"Pass","Fail")</f>
        <v>Pass</v>
      </c>
    </row>
    <row r="7" spans="1:14" x14ac:dyDescent="0.7">
      <c r="A7">
        <v>5</v>
      </c>
      <c r="B7" t="s">
        <v>18</v>
      </c>
      <c r="C7">
        <v>60</v>
      </c>
      <c r="D7">
        <v>86</v>
      </c>
      <c r="E7">
        <v>46</v>
      </c>
      <c r="F7">
        <v>46</v>
      </c>
      <c r="G7">
        <v>47</v>
      </c>
      <c r="H7">
        <v>47</v>
      </c>
      <c r="I7">
        <f t="shared" si="0"/>
        <v>332</v>
      </c>
      <c r="J7">
        <f t="shared" si="1"/>
        <v>55.333333333333336</v>
      </c>
      <c r="K7">
        <f t="shared" si="2"/>
        <v>55.333333333333336</v>
      </c>
      <c r="L7">
        <f t="shared" si="3"/>
        <v>86</v>
      </c>
      <c r="M7">
        <f t="shared" si="4"/>
        <v>46</v>
      </c>
      <c r="N7" t="str">
        <f t="shared" si="6"/>
        <v>Pass</v>
      </c>
    </row>
    <row r="8" spans="1:14" x14ac:dyDescent="0.7">
      <c r="A8">
        <v>6</v>
      </c>
      <c r="B8" t="s">
        <v>19</v>
      </c>
      <c r="C8">
        <v>49</v>
      </c>
      <c r="D8">
        <v>83</v>
      </c>
      <c r="E8">
        <v>56</v>
      </c>
      <c r="F8">
        <v>95</v>
      </c>
      <c r="G8">
        <v>75</v>
      </c>
      <c r="H8">
        <v>75</v>
      </c>
      <c r="I8">
        <f t="shared" si="0"/>
        <v>433</v>
      </c>
      <c r="J8">
        <f t="shared" si="1"/>
        <v>72.166666666666671</v>
      </c>
      <c r="K8">
        <f t="shared" si="2"/>
        <v>72.166666666666671</v>
      </c>
      <c r="L8">
        <f t="shared" si="3"/>
        <v>95</v>
      </c>
      <c r="M8">
        <f t="shared" si="4"/>
        <v>49</v>
      </c>
      <c r="N8" t="str">
        <f t="shared" si="6"/>
        <v>Pass</v>
      </c>
    </row>
    <row r="9" spans="1:14" x14ac:dyDescent="0.7">
      <c r="A9">
        <v>7</v>
      </c>
      <c r="B9" t="s">
        <v>20</v>
      </c>
      <c r="C9">
        <v>79</v>
      </c>
      <c r="D9">
        <v>80</v>
      </c>
      <c r="E9">
        <v>79</v>
      </c>
      <c r="F9">
        <v>84</v>
      </c>
      <c r="G9">
        <v>73</v>
      </c>
      <c r="H9">
        <v>32</v>
      </c>
      <c r="I9">
        <f t="shared" si="0"/>
        <v>427</v>
      </c>
      <c r="J9">
        <f t="shared" si="1"/>
        <v>71.166666666666671</v>
      </c>
      <c r="K9">
        <f t="shared" si="2"/>
        <v>71.166666666666671</v>
      </c>
      <c r="L9">
        <f t="shared" si="3"/>
        <v>84</v>
      </c>
      <c r="M9">
        <f t="shared" si="4"/>
        <v>32</v>
      </c>
      <c r="N9" t="str">
        <f t="shared" si="6"/>
        <v>Fail</v>
      </c>
    </row>
    <row r="10" spans="1:14" x14ac:dyDescent="0.7">
      <c r="A10">
        <v>8</v>
      </c>
      <c r="B10" t="s">
        <v>21</v>
      </c>
      <c r="C10">
        <v>42</v>
      </c>
      <c r="D10">
        <v>53</v>
      </c>
      <c r="E10">
        <v>92</v>
      </c>
      <c r="F10">
        <v>48</v>
      </c>
      <c r="G10">
        <v>80</v>
      </c>
      <c r="H10">
        <v>62</v>
      </c>
      <c r="I10">
        <f t="shared" si="0"/>
        <v>377</v>
      </c>
      <c r="J10">
        <f t="shared" si="1"/>
        <v>62.833333333333329</v>
      </c>
      <c r="K10">
        <f t="shared" si="2"/>
        <v>62.833333333333336</v>
      </c>
      <c r="L10">
        <f t="shared" si="3"/>
        <v>92</v>
      </c>
      <c r="M10">
        <f t="shared" si="4"/>
        <v>42</v>
      </c>
      <c r="N10" t="str">
        <f t="shared" si="6"/>
        <v>Pass</v>
      </c>
    </row>
    <row r="11" spans="1:14" x14ac:dyDescent="0.7">
      <c r="A11">
        <v>9</v>
      </c>
      <c r="B11" t="s">
        <v>22</v>
      </c>
      <c r="C11">
        <v>99</v>
      </c>
      <c r="D11">
        <v>63</v>
      </c>
      <c r="E11">
        <v>80</v>
      </c>
      <c r="F11">
        <v>49</v>
      </c>
      <c r="G11">
        <v>78</v>
      </c>
      <c r="H11">
        <v>85</v>
      </c>
      <c r="I11">
        <f t="shared" si="0"/>
        <v>454</v>
      </c>
      <c r="J11">
        <f t="shared" si="1"/>
        <v>75.666666666666671</v>
      </c>
      <c r="K11">
        <f t="shared" si="2"/>
        <v>75.666666666666671</v>
      </c>
      <c r="L11">
        <f t="shared" si="3"/>
        <v>99</v>
      </c>
      <c r="M11">
        <f t="shared" si="4"/>
        <v>49</v>
      </c>
      <c r="N11" t="str">
        <f t="shared" si="6"/>
        <v>Pass</v>
      </c>
    </row>
    <row r="12" spans="1:14" x14ac:dyDescent="0.7">
      <c r="A12">
        <v>10</v>
      </c>
      <c r="B12" t="s">
        <v>23</v>
      </c>
      <c r="C12">
        <v>39</v>
      </c>
      <c r="D12">
        <v>91</v>
      </c>
      <c r="E12">
        <v>41</v>
      </c>
      <c r="F12">
        <v>86</v>
      </c>
      <c r="G12">
        <v>37</v>
      </c>
      <c r="H12">
        <v>57</v>
      </c>
      <c r="I12">
        <f t="shared" si="0"/>
        <v>351</v>
      </c>
      <c r="J12">
        <f t="shared" si="1"/>
        <v>58.5</v>
      </c>
      <c r="K12">
        <f t="shared" si="2"/>
        <v>58.5</v>
      </c>
      <c r="L12">
        <f t="shared" si="3"/>
        <v>91</v>
      </c>
      <c r="M12">
        <f t="shared" si="4"/>
        <v>37</v>
      </c>
      <c r="N12" t="str">
        <f t="shared" si="6"/>
        <v>Pass</v>
      </c>
    </row>
    <row r="13" spans="1:14" x14ac:dyDescent="0.7">
      <c r="A13">
        <v>11</v>
      </c>
      <c r="B13" t="s">
        <v>24</v>
      </c>
      <c r="C13">
        <v>91</v>
      </c>
      <c r="D13">
        <v>81</v>
      </c>
      <c r="E13">
        <v>58</v>
      </c>
      <c r="F13">
        <v>37</v>
      </c>
      <c r="G13">
        <v>49</v>
      </c>
      <c r="H13">
        <v>66</v>
      </c>
      <c r="I13">
        <f t="shared" si="0"/>
        <v>382</v>
      </c>
      <c r="J13">
        <f t="shared" si="1"/>
        <v>63.666666666666671</v>
      </c>
      <c r="K13">
        <f t="shared" si="2"/>
        <v>63.666666666666664</v>
      </c>
      <c r="L13">
        <f t="shared" si="3"/>
        <v>91</v>
      </c>
      <c r="M13">
        <f t="shared" si="4"/>
        <v>37</v>
      </c>
      <c r="N13" t="str">
        <f t="shared" si="6"/>
        <v>Pass</v>
      </c>
    </row>
    <row r="14" spans="1:14" x14ac:dyDescent="0.7">
      <c r="A14">
        <v>12</v>
      </c>
      <c r="B14" t="s">
        <v>25</v>
      </c>
      <c r="C14">
        <v>74</v>
      </c>
      <c r="D14">
        <v>65</v>
      </c>
      <c r="E14">
        <v>81</v>
      </c>
      <c r="F14">
        <v>54</v>
      </c>
      <c r="G14">
        <v>59</v>
      </c>
      <c r="H14">
        <v>35</v>
      </c>
      <c r="I14">
        <f t="shared" si="0"/>
        <v>368</v>
      </c>
      <c r="J14">
        <f t="shared" si="1"/>
        <v>61.333333333333329</v>
      </c>
      <c r="K14">
        <f t="shared" si="2"/>
        <v>61.333333333333336</v>
      </c>
      <c r="L14">
        <f t="shared" si="3"/>
        <v>81</v>
      </c>
      <c r="M14">
        <f t="shared" si="4"/>
        <v>35</v>
      </c>
      <c r="N14" t="str">
        <f t="shared" si="6"/>
        <v>Pass</v>
      </c>
    </row>
    <row r="15" spans="1:14" x14ac:dyDescent="0.7">
      <c r="A15">
        <v>13</v>
      </c>
      <c r="B15" t="s">
        <v>26</v>
      </c>
      <c r="C15">
        <v>72</v>
      </c>
      <c r="D15">
        <v>81</v>
      </c>
      <c r="E15">
        <v>60</v>
      </c>
      <c r="F15">
        <v>64</v>
      </c>
      <c r="G15">
        <v>52</v>
      </c>
      <c r="H15">
        <v>98</v>
      </c>
      <c r="I15">
        <f t="shared" si="0"/>
        <v>427</v>
      </c>
      <c r="J15">
        <f t="shared" si="1"/>
        <v>71.166666666666671</v>
      </c>
      <c r="K15">
        <f t="shared" si="2"/>
        <v>71.166666666666671</v>
      </c>
      <c r="L15">
        <f t="shared" si="3"/>
        <v>98</v>
      </c>
      <c r="M15">
        <f t="shared" si="4"/>
        <v>52</v>
      </c>
      <c r="N15" t="str">
        <f t="shared" si="6"/>
        <v>Pass</v>
      </c>
    </row>
    <row r="16" spans="1:14" x14ac:dyDescent="0.7">
      <c r="A16">
        <v>14</v>
      </c>
      <c r="B16" t="s">
        <v>27</v>
      </c>
      <c r="C16">
        <v>92</v>
      </c>
      <c r="D16">
        <v>65</v>
      </c>
      <c r="E16">
        <v>71</v>
      </c>
      <c r="F16">
        <v>59</v>
      </c>
      <c r="G16">
        <v>92</v>
      </c>
      <c r="H16">
        <v>32</v>
      </c>
      <c r="I16">
        <f t="shared" si="0"/>
        <v>411</v>
      </c>
      <c r="J16">
        <f t="shared" si="1"/>
        <v>68.5</v>
      </c>
      <c r="K16">
        <f t="shared" si="2"/>
        <v>68.5</v>
      </c>
      <c r="L16">
        <f t="shared" si="3"/>
        <v>92</v>
      </c>
      <c r="M16">
        <f t="shared" si="4"/>
        <v>32</v>
      </c>
      <c r="N16" t="str">
        <f t="shared" si="6"/>
        <v>Fail</v>
      </c>
    </row>
    <row r="17" spans="1:14" x14ac:dyDescent="0.7">
      <c r="A17">
        <v>15</v>
      </c>
      <c r="B17" t="s">
        <v>28</v>
      </c>
      <c r="C17">
        <v>69</v>
      </c>
      <c r="D17">
        <v>82</v>
      </c>
      <c r="E17">
        <v>69</v>
      </c>
      <c r="F17">
        <v>47</v>
      </c>
      <c r="G17">
        <v>45</v>
      </c>
      <c r="H17">
        <v>32</v>
      </c>
      <c r="I17">
        <f t="shared" si="0"/>
        <v>344</v>
      </c>
      <c r="J17">
        <f t="shared" si="1"/>
        <v>57.333333333333336</v>
      </c>
      <c r="K17">
        <f t="shared" si="2"/>
        <v>57.333333333333336</v>
      </c>
      <c r="L17">
        <f t="shared" si="3"/>
        <v>82</v>
      </c>
      <c r="M17">
        <f t="shared" si="4"/>
        <v>32</v>
      </c>
      <c r="N17" t="str">
        <f t="shared" si="6"/>
        <v>Fail</v>
      </c>
    </row>
  </sheetData>
  <mergeCells count="1">
    <mergeCell ref="E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2E101-942F-4DE2-B535-F65C31BFD7EB}">
  <dimension ref="A2:B3"/>
  <sheetViews>
    <sheetView workbookViewId="0">
      <selection activeCell="J2" sqref="J2"/>
    </sheetView>
  </sheetViews>
  <sheetFormatPr defaultRowHeight="25.5" x14ac:dyDescent="0.7"/>
  <sheetData>
    <row r="2" spans="1:2" x14ac:dyDescent="0.7">
      <c r="A2" t="s">
        <v>41</v>
      </c>
      <c r="B2">
        <f>COUNTIF(Sheet1!N3:N17,"pass")</f>
        <v>12</v>
      </c>
    </row>
    <row r="3" spans="1:2" x14ac:dyDescent="0.7">
      <c r="A3" t="s">
        <v>42</v>
      </c>
      <c r="B3">
        <f>COUNTIF(Sheet1!N3:N17,"Fail")</f>
        <v>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D7E3B-EE01-40EA-AE8B-20413EC79396}">
  <dimension ref="A1:G16"/>
  <sheetViews>
    <sheetView tabSelected="1" topLeftCell="A26" workbookViewId="0">
      <selection activeCell="J7" sqref="J7"/>
    </sheetView>
  </sheetViews>
  <sheetFormatPr defaultRowHeight="25.5" x14ac:dyDescent="0.7"/>
  <cols>
    <col min="1" max="1" width="14.33203125" customWidth="1"/>
    <col min="2" max="2" width="8" customWidth="1"/>
    <col min="4" max="4" width="15.33203125" customWidth="1"/>
    <col min="5" max="5" width="7.44140625" customWidth="1"/>
  </cols>
  <sheetData>
    <row r="1" spans="1:7" ht="26.25" x14ac:dyDescent="0.7">
      <c r="A1" s="12" t="s">
        <v>30</v>
      </c>
      <c r="B1" s="12"/>
      <c r="C1" s="12"/>
      <c r="D1" s="12"/>
      <c r="E1" s="12"/>
      <c r="F1" s="12"/>
      <c r="G1" s="1"/>
    </row>
    <row r="2" spans="1:7" x14ac:dyDescent="0.7">
      <c r="A2" s="5"/>
      <c r="B2" s="5"/>
      <c r="C2" s="5"/>
      <c r="D2" s="5"/>
      <c r="E2" s="5"/>
      <c r="F2" s="5"/>
      <c r="G2" s="1"/>
    </row>
    <row r="3" spans="1:7" ht="26.25" customHeight="1" x14ac:dyDescent="0.7">
      <c r="A3" s="6" t="s">
        <v>31</v>
      </c>
      <c r="B3" s="5">
        <f>COUNTA(Sheet1!B2:B16)</f>
        <v>15</v>
      </c>
      <c r="C3" s="5"/>
      <c r="D3" s="5" t="s">
        <v>34</v>
      </c>
      <c r="E3" s="7">
        <f>B5/B3</f>
        <v>0.8</v>
      </c>
      <c r="F3" s="5"/>
      <c r="G3" s="1"/>
    </row>
    <row r="4" spans="1:7" x14ac:dyDescent="0.7">
      <c r="A4" s="5"/>
      <c r="B4" s="5"/>
      <c r="C4" s="5"/>
      <c r="D4" s="5"/>
      <c r="E4" s="5"/>
      <c r="F4" s="5"/>
      <c r="G4" s="1"/>
    </row>
    <row r="5" spans="1:7" ht="26.25" customHeight="1" x14ac:dyDescent="0.7">
      <c r="A5" s="6" t="s">
        <v>32</v>
      </c>
      <c r="B5" s="5">
        <f>COUNTIF(Sheet1!N3:N17,"pass")</f>
        <v>12</v>
      </c>
      <c r="C5" s="5"/>
      <c r="D5" s="5" t="s">
        <v>35</v>
      </c>
      <c r="E5" s="5" t="str">
        <f>INDEX(Sheet1!B2:B16,MATCH(MAX(Sheet1!I2:I16),Sheet1!I2:I16,0))</f>
        <v>B</v>
      </c>
      <c r="F5" s="5"/>
      <c r="G5" s="1"/>
    </row>
    <row r="6" spans="1:7" x14ac:dyDescent="0.7">
      <c r="A6" s="5"/>
      <c r="B6" s="5"/>
      <c r="C6" s="5"/>
      <c r="D6" s="5"/>
      <c r="E6" s="5"/>
      <c r="F6" s="5"/>
      <c r="G6" s="1"/>
    </row>
    <row r="7" spans="1:7" ht="26.25" customHeight="1" x14ac:dyDescent="0.7">
      <c r="A7" s="6" t="s">
        <v>33</v>
      </c>
      <c r="B7" s="5">
        <f>COUNTIF(Sheet1!N3:N17,"fail")</f>
        <v>3</v>
      </c>
      <c r="C7" s="5"/>
      <c r="D7" s="5" t="s">
        <v>36</v>
      </c>
      <c r="E7" s="5">
        <f>MAX(Sheet1!I2:I16)</f>
        <v>454</v>
      </c>
      <c r="F7" s="5"/>
      <c r="G7" s="1"/>
    </row>
    <row r="8" spans="1:7" x14ac:dyDescent="0.7">
      <c r="A8" s="5"/>
      <c r="B8" s="5"/>
      <c r="C8" s="5"/>
      <c r="D8" s="5"/>
      <c r="E8" s="5"/>
      <c r="F8" s="5"/>
    </row>
    <row r="9" spans="1:7" x14ac:dyDescent="0.7">
      <c r="A9" s="5" t="s">
        <v>43</v>
      </c>
      <c r="B9" s="5" t="s">
        <v>39</v>
      </c>
      <c r="C9" s="5"/>
      <c r="D9" s="5" t="s">
        <v>44</v>
      </c>
      <c r="E9" s="5" t="s">
        <v>40</v>
      </c>
      <c r="F9" s="5"/>
    </row>
    <row r="10" spans="1:7" x14ac:dyDescent="0.7">
      <c r="A10" s="8" t="s">
        <v>37</v>
      </c>
      <c r="B10" s="8" t="s">
        <v>38</v>
      </c>
    </row>
    <row r="11" spans="1:7" x14ac:dyDescent="0.7">
      <c r="A11" s="9" t="s">
        <v>3</v>
      </c>
      <c r="B11" s="9">
        <f>AVERAGE(Sheet1!C2:C16)</f>
        <v>67.642857142857139</v>
      </c>
    </row>
    <row r="12" spans="1:7" x14ac:dyDescent="0.7">
      <c r="A12" s="9" t="s">
        <v>39</v>
      </c>
      <c r="B12" s="9">
        <f>AVERAGE(Sheet1!D2:D16)</f>
        <v>70.714285714285708</v>
      </c>
    </row>
    <row r="13" spans="1:7" x14ac:dyDescent="0.7">
      <c r="A13" s="9" t="s">
        <v>5</v>
      </c>
      <c r="B13" s="9">
        <f>AVERAGE(Sheet1!E3:E17)</f>
        <v>62.8</v>
      </c>
    </row>
    <row r="14" spans="1:7" x14ac:dyDescent="0.7">
      <c r="A14" s="9" t="s">
        <v>6</v>
      </c>
      <c r="B14" s="9">
        <f>AVERAGE(Sheet1!F3:F17)</f>
        <v>62.06666666666667</v>
      </c>
    </row>
    <row r="15" spans="1:7" x14ac:dyDescent="0.7">
      <c r="A15" s="9" t="s">
        <v>7</v>
      </c>
      <c r="B15" s="9">
        <f>AVERAGE(Sheet1!G3:G17)</f>
        <v>69.400000000000006</v>
      </c>
    </row>
    <row r="16" spans="1:7" x14ac:dyDescent="0.7">
      <c r="A16" s="9" t="s">
        <v>40</v>
      </c>
      <c r="B16" s="9">
        <f>AVERAGE(Sheet1!H3:H17)</f>
        <v>56.533333333333331</v>
      </c>
    </row>
  </sheetData>
  <mergeCells count="1">
    <mergeCell ref="A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Analysis</vt:lpstr>
      <vt:lpstr>Dashbords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2026-06-15T11:04:50Z</dcterms:created>
  <dcterms:modified xsi:type="dcterms:W3CDTF">2026-06-19T12:33:36Z</dcterms:modified>
</cp:coreProperties>
</file>